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160d0c467248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ing Schedule" sheetId="1" r:id="Rfae85081d3044f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£&quot;#,##0.00"/>
    <x:numFmt numFmtId="201" formatCode="0.00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2"/>
      <x:color rgb="FF28241E"/>
      <x:name val="Carlito"/>
    </x:font>
    <x:font>
      <x:b/>
      <x:sz val="11"/>
      <x:color rgb="FF746C60"/>
      <x:name val="Carlito"/>
    </x:font>
    <x:font>
      <x:b/>
      <x:sz val="11"/>
      <x:color rgb="FF28241E"/>
      <x:name val="Carlito"/>
    </x:font>
    <x:font>
      <x:b/>
      <x:sz val="11"/>
      <x:color rgb="FFFFFFFF"/>
      <x:name val="Carlito"/>
    </x:font>
    <x:font>
      <x:b/>
      <x:sz val="11"/>
      <x:color rgb="FF9A6A2F"/>
      <x:name val="Carlito"/>
    </x:font>
    <x:font>
      <x:i/>
      <x:sz val="11"/>
      <x:color rgb="FF7A5A00"/>
      <x:name val="Carlito"/>
    </x:font>
    <x:font>
      <x:sz val="9"/>
      <x:color rgb="FF746C6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15E6D"/>
      </x:patternFill>
    </x:fill>
    <x:fill>
      <x:patternFill patternType="solid">
        <x:fgColor rgb="FFE9F0F1"/>
      </x:patternFill>
    </x:fill>
    <x:fill>
      <x:patternFill patternType="solid">
        <x:fgColor rgb="FFD8E4E6"/>
      </x:patternFill>
    </x:fill>
    <x:fill>
      <x:patternFill patternType="solid">
        <x:fgColor rgb="FFFAF6EC"/>
      </x:patternFill>
    </x:fill>
    <x:fill>
      <x:patternFill patternType="solid">
        <x:fgColor rgb="FFFFF4D6"/>
      </x:patternFill>
    </x:fill>
  </x:fills>
  <x:borders count="10">
    <x:border/>
    <x:border>
      <x:left style="thin">
        <x:color rgb="FF9BAFB4"/>
      </x:left>
      <x:top style="thin">
        <x:color rgb="FF9BAFB4"/>
      </x:top>
      <x:bottom style="thin">
        <x:color rgb="FF9BAFB4"/>
      </x:bottom>
    </x:border>
    <x:border>
      <x:top style="thin">
        <x:color rgb="FF9BAFB4"/>
      </x:top>
      <x:bottom style="thin">
        <x:color rgb="FF9BAFB4"/>
      </x:bottom>
    </x:border>
    <x:border>
      <x:right style="thin">
        <x:color rgb="FF9BAFB4"/>
      </x:right>
      <x:top style="thin">
        <x:color rgb="FF9BAFB4"/>
      </x:top>
      <x:bottom style="thin">
        <x:color rgb="FF9BAFB4"/>
      </x:bottom>
    </x:border>
    <x:border>
      <x:bottom style="thin">
        <x:color rgb="FFDDD6C8"/>
      </x:bottom>
    </x:border>
    <x:border>
      <x:top style="thin">
        <x:color rgb="FFDDD6C8"/>
      </x:top>
      <x:bottom style="thin">
        <x:color rgb="FFDDD6C8"/>
      </x:bottom>
    </x:border>
    <x:border>
      <x:top style="thin">
        <x:color rgb="FFDDD6C8"/>
      </x:top>
    </x:border>
    <x:border>
      <x:left style="thin">
        <x:color rgb="FF315E6D"/>
      </x:left>
      <x:top style="thin">
        <x:color rgb="FF315E6D"/>
      </x:top>
      <x:bottom style="thin">
        <x:color rgb="FF315E6D"/>
      </x:bottom>
    </x:border>
    <x:border>
      <x:top style="thin">
        <x:color rgb="FF315E6D"/>
      </x:top>
      <x:bottom style="thin">
        <x:color rgb="FF315E6D"/>
      </x:bottom>
    </x:border>
    <x:border>
      <x:right style="thin">
        <x:color rgb="FF315E6D"/>
      </x:right>
      <x:top style="thin">
        <x:color rgb="FF315E6D"/>
      </x:top>
      <x:bottom style="thin">
        <x:color rgb="FF315E6D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201" fontId="0" fillId="0" borderId="4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1" fontId="0" fillId="0" borderId="5" xfId="0" applyNumberFormat="1" applyFont="1" applyFill="1" applyBorder="1" applyAlignment="1">
      <x:alignment horizontal="center"/>
    </x:xf>
    <x:xf numFmtId="200" fontId="0" fillId="0" borderId="5" xfId="0" applyNumberFormat="1" applyFont="1" applyFill="1" applyBorder="1"/>
    <x:xf numFmtId="0" fontId="0" fillId="0" borderId="6" xfId="0" applyNumberFormat="1" applyFont="1" applyFill="1" applyBorder="1"/>
    <x:xf numFmtId="201" fontId="0" fillId="0" borderId="6" xfId="0" applyNumberFormat="1" applyFont="1" applyFill="1" applyBorder="1" applyAlignment="1">
      <x:alignment horizontal="center"/>
    </x:xf>
    <x:xf numFmtId="20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201" fontId="0" fillId="0" borderId="4" xfId="0" applyNumberFormat="1" applyFont="1" applyFill="1" applyBorder="1" applyAlignment="1">
      <x:alignment horizontal="center" wrapText="1"/>
    </x:xf>
    <x:xf numFmtId="20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horizontal="center" wrapText="1"/>
    </x:xf>
    <x:xf numFmtId="20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1" fontId="0" fillId="0" borderId="6" xfId="0" applyNumberFormat="1" applyFont="1" applyFill="1" applyBorder="1" applyAlignment="1">
      <x:alignment horizontal="center" wrapText="1"/>
    </x:xf>
    <x:xf numFmtId="20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201" fontId="0" fillId="0" borderId="4" xfId="0" applyNumberFormat="1" applyFont="1" applyFill="1" applyBorder="1" applyAlignment="1">
      <x:alignment horizontal="center" vertical="center" wrapText="1"/>
    </x:xf>
    <x:xf numFmtId="20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horizontal="center"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201" fontId="0" fillId="0" borderId="6" xfId="0" applyNumberFormat="1" applyFont="1" applyFill="1" applyBorder="1" applyAlignment="1">
      <x:alignment horizontal="center"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7" xfId="0" applyNumberFormat="1" applyFont="1" applyFill="1" applyBorder="1"/>
    <x:xf numFmtId="0" fontId="5" fillId="2" borderId="8" xfId="0" applyNumberFormat="1" applyFont="1" applyFill="1" applyBorder="1"/>
    <x:xf numFmtId="0" fontId="5" fillId="2" borderId="9" xfId="0" applyNumberFormat="1" applyFont="1" applyFill="1" applyBorder="1"/>
    <x:xf numFmtId="200" fontId="5" fillId="2" borderId="8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c3fca77d914980" /><Relationship Type="http://schemas.openxmlformats.org/officeDocument/2006/relationships/theme" Target="/xl/theme/theme1.xml" Id="R09900d8ad77e44b6" /><Relationship Type="http://schemas.openxmlformats.org/officeDocument/2006/relationships/sharedStrings" Target="/xl/sharedStrings.xml" Id="R732744964ab74f97" /><Relationship Type="http://schemas.openxmlformats.org/officeDocument/2006/relationships/worksheet" Target="/xl/worksheets/sheet1.xml" Id="Rfae85081d3044f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21" hidden="0" customWidth="1"/>
    <x:col min="4" max="4" width="14" hidden="0" customWidth="1"/>
    <x:col min="5" max="5" width="14" hidden="0" customWidth="1"/>
    <x:col min="6" max="6" width="42" hidden="0" customWidth="1"/>
  </x:cols>
  <x:sheetData>
    <x:row r="1" ht="32" customHeight="1">
      <x:c r="A1" s="3" t="str">
        <x:v>Pricing Schedule</x:v>
      </x:c>
      <x:c r="B1" s="3"/>
      <x:c r="C1" s="3"/>
      <x:c r="D1" s="3"/>
      <x:c r="E1" s="3"/>
      <x:c r="F1" s="3"/>
    </x:row>
    <x:row r="2" ht="25" customHeight="1">
      <x:c r="A2" s="6" t="str">
        <x:v>Trace, Evaluate and Reinforce (TracER)</x:v>
      </x:c>
      <x:c r="B2" s="6"/>
      <x:c r="C2" s="6"/>
      <x:c r="D2" s="6"/>
      <x:c r="E2" s="6"/>
      <x:c r="F2" s="6"/>
    </x:row>
    <x:row r="4">
      <x:c r="A4" s="7" t="str">
        <x:v>Bidder</x:v>
      </x:c>
      <x:c r="B4" t="str">
        <x:v>Acme Ltd</x:v>
      </x:c>
    </x:row>
    <x:row r="5">
      <x:c r="A5" s="7" t="str">
        <x:v>Budget ceiling</x:v>
      </x:c>
      <x:c r="B5" s="8" t="n">
        <x:v>162000</x:v>
      </x:c>
    </x:row>
    <x:row r="6">
      <x:c r="A6" s="7" t="str">
        <x:v>Target total</x:v>
      </x:c>
      <x:c r="B6" s="8" t="n">
        <x:v>145800</x:v>
      </x:c>
    </x:row>
    <x:row r="8" ht="28" customHeight="1">
      <x:c r="A8" s="17" t="str">
        <x:v>Cost item</x:v>
      </x:c>
      <x:c r="B8" s="18" t="str">
        <x:v>Quantity</x:v>
      </x:c>
      <x:c r="C8" s="18" t="str">
        <x:v>Unit</x:v>
      </x:c>
      <x:c r="D8" s="18" t="str">
        <x:v>Unit price</x:v>
      </x:c>
      <x:c r="E8" s="18" t="str">
        <x:v>Total</x:v>
      </x:c>
      <x:c r="F8" s="19" t="str">
        <x:v>Basis / check</x:v>
      </x:c>
    </x:row>
    <x:row r="9">
      <x:c r="A9" s="40" t="str">
        <x:v>Discovery, stakeholder engagement and current-state review</x:v>
      </x:c>
      <x:c r="B9" s="41" t="n">
        <x:v>1</x:v>
      </x:c>
      <x:c r="C9" s="40" t="str">
        <x:v>fixed-price line</x:v>
      </x:c>
      <x:c r="D9" s="42" t="n">
        <x:v>29160</x:v>
      </x:c>
      <x:c r="E9" s="42" t="n">
        <x:f>B9*D9</x:f>
        <x:v>29160</x:v>
      </x:c>
      <x:c r="F9" s="40" t="str">
        <x:v>Planning allocation requiring commercial approval.</x:v>
      </x:c>
    </x:row>
    <x:row r="10">
      <x:c r="A10" s="43" t="str">
        <x:v>Process redesign, role profile refinement and operating model documentation</x:v>
      </x:c>
      <x:c r="B10" s="44" t="n">
        <x:v>1</x:v>
      </x:c>
      <x:c r="C10" s="43" t="str">
        <x:v>fixed-price line</x:v>
      </x:c>
      <x:c r="D10" s="45" t="n">
        <x:v>29160</x:v>
      </x:c>
      <x:c r="E10" s="45" t="n">
        <x:f>B10*D10</x:f>
        <x:v>29160</x:v>
      </x:c>
      <x:c r="F10" s="43" t="str">
        <x:v>Planning allocation requiring commercial approval.</x:v>
      </x:c>
    </x:row>
    <x:row r="11">
      <x:c r="A11" s="43" t="str">
        <x:v>Workflow / forms / automation design and configuration support</x:v>
      </x:c>
      <x:c r="B11" s="44" t="n">
        <x:v>1</x:v>
      </x:c>
      <x:c r="C11" s="43" t="str">
        <x:v>fixed-price line</x:v>
      </x:c>
      <x:c r="D11" s="45" t="n">
        <x:v>29160</x:v>
      </x:c>
      <x:c r="E11" s="45" t="n">
        <x:f>B11*D11</x:f>
        <x:v>29160</x:v>
      </x:c>
      <x:c r="F11" s="43" t="str">
        <x:v>Planning allocation requiring commercial approval.</x:v>
      </x:c>
    </x:row>
    <x:row r="12">
      <x:c r="A12" s="43" t="str">
        <x:v>Reporting suite and business intelligence dashboards</x:v>
      </x:c>
      <x:c r="B12" s="44" t="n">
        <x:v>1</x:v>
      </x:c>
      <x:c r="C12" s="43" t="str">
        <x:v>fixed-price line</x:v>
      </x:c>
      <x:c r="D12" s="45" t="n">
        <x:v>29160</x:v>
      </x:c>
      <x:c r="E12" s="45" t="n">
        <x:f>B12*D12</x:f>
        <x:v>29160</x:v>
      </x:c>
      <x:c r="F12" s="43" t="str">
        <x:v>Planning allocation requiring commercial approval.</x:v>
      </x:c>
    </x:row>
    <x:row r="13">
      <x:c r="A13" s="46" t="str">
        <x:v>Training, guidance materials, change management and embed support</x:v>
      </x:c>
      <x:c r="B13" s="47" t="n">
        <x:v>1</x:v>
      </x:c>
      <x:c r="C13" s="46" t="str">
        <x:v>fixed-price line</x:v>
      </x:c>
      <x:c r="D13" s="48" t="n">
        <x:v>29160</x:v>
      </x:c>
      <x:c r="E13" s="48" t="n">
        <x:f>B13*D13</x:f>
        <x:v>29160</x:v>
      </x:c>
      <x:c r="F13" s="46" t="str">
        <x:v>Planning allocation requiring commercial approval.</x:v>
      </x:c>
    </x:row>
    <x:row r="14">
      <x:c r="A14" s="50" t="str">
        <x:v>TOTAL</x:v>
      </x:c>
      <x:c r="B14" s="51"/>
      <x:c r="C14" s="51"/>
      <x:c r="D14" s="51"/>
      <x:c r="E14" s="53" t="n">
        <x:f>SUM(E9:E13)</x:f>
        <x:v>145800</x:v>
      </x:c>
      <x:c r="F14" s="52"/>
    </x:row>
    <x:row r="17">
      <x:c r="A17" s="55" t="str">
        <x:v>Commercial assumptions and checks</x:v>
      </x:c>
      <x:c r="B17" s="55"/>
      <x:c r="C17" s="55"/>
      <x:c r="D17" s="55"/>
      <x:c r="E17" s="55"/>
      <x:c r="F17" s="55"/>
    </x:row>
    <x:row r="18">
      <x:c r="A18" s="57" t="str">
        <x:v>•</x:v>
      </x:c>
      <x:c r="B18" s="57" t="str">
        <x:v>Commercial pricing is to be completed separately and approved by the bidder.</x:v>
      </x:c>
      <x:c r="C18" s="57"/>
      <x:c r="D18" s="57"/>
      <x:c r="E18" s="57"/>
      <x:c r="F18" s="57"/>
    </x:row>
    <x:row r="19">
      <x:c r="A19" s="57" t="str">
        <x:v>•</x:v>
      </x:c>
      <x:c r="B19" s="57" t="str">
        <x:v>If LLDC requires a monthly schedule, the commercial file should show milestone or monthly values consistent with the preferred payment approach in Volume 1, Table 2.</x:v>
      </x:c>
      <x:c r="C19" s="57"/>
      <x:c r="D19" s="57"/>
      <x:c r="E19" s="57"/>
      <x:c r="F19" s="57"/>
    </x:row>
    <x:row r="20">
      <x:c r="A20" s="57" t="str">
        <x:v>•</x:v>
      </x:c>
      <x:c r="B20" s="57" t="str">
        <x:v>Any VAT treatment should be shown separately in the pricing attachment if required by the portal template.</x:v>
      </x:c>
      <x:c r="C20" s="57"/>
      <x:c r="D20" s="57"/>
      <x:c r="E20" s="57"/>
      <x:c r="F20" s="57"/>
    </x:row>
    <x:row r="21">
      <x:c r="A21" s="57" t="str">
        <x:v>•</x:v>
      </x:c>
      <x:c r="B21" s="57" t="str">
        <x:v>All generated prices are planning allocations requiring commercial approval.</x:v>
      </x:c>
      <x:c r="C21" s="57"/>
      <x:c r="D21" s="57"/>
      <x:c r="E21" s="57"/>
      <x:c r="F21" s="57"/>
    </x:row>
    <x:row r="23">
      <x:c r="A23" s="60" t="str">
        <x:v>Planning price set 10% below the explicit £162,000 maximum budget. Commercial approval required.</x:v>
      </x:c>
      <x:c r="B23" s="60"/>
      <x:c r="C23" s="60"/>
      <x:c r="D23" s="60"/>
      <x:c r="E23" s="60"/>
      <x:c r="F23" s="60"/>
    </x:row>
    <x:row r="25">
      <x:c r="A25" s="62" t="str">
        <x:v>Source notice: https://www.find-tender.service.gov.uk/Notice/074547-2026?utm_medium=email&amp;utm_campaign=2026-08-07&amp;utm_source=SavedSearch</x:v>
      </x:c>
      <x:c r="B25" s="62"/>
      <x:c r="C25" s="62"/>
      <x:c r="D25" s="62"/>
      <x:c r="E25" s="62"/>
      <x:c r="F25" s="62"/>
    </x:row>
  </x:sheetData>
  <x:mergeCells>
    <x:mergeCell ref="A1:F1"/>
    <x:mergeCell ref="A2:F2"/>
    <x:mergeCell ref="A14:D14"/>
    <x:mergeCell ref="A17:F17"/>
    <x:mergeCell ref="B18:F18"/>
    <x:mergeCell ref="B19:F19"/>
    <x:mergeCell ref="B20:F20"/>
    <x:mergeCell ref="B21:F21"/>
    <x:mergeCell ref="A23:F23"/>
    <x:mergeCell ref="A25:F25"/>
  </x:mergeCells>
  <x:pageMargins left="0.7" right="0.7" top="0.75" bottom="0.75" header="0.3" footer="0.3"/>
</x:worksheet>
</file>